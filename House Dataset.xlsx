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jopc\Desktop\AI Engineering\Semester 2\Machine Learning\Project\ML_Project_Houseprice_Prediction\"/>
    </mc:Choice>
  </mc:AlternateContent>
  <bookViews>
    <workbookView xWindow="0" yWindow="0" windowWidth="23040" windowHeight="90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" l="1"/>
  <c r="N22" i="1"/>
  <c r="N21" i="1"/>
  <c r="N20" i="1"/>
  <c r="N19" i="1"/>
  <c r="C19" i="1"/>
  <c r="B19" i="1"/>
  <c r="N18" i="1"/>
  <c r="B17" i="1"/>
  <c r="N16" i="1"/>
  <c r="N15" i="1"/>
  <c r="N14" i="1"/>
  <c r="N13" i="1"/>
  <c r="N10" i="1" l="1"/>
  <c r="N8" i="1"/>
  <c r="N7" i="1"/>
  <c r="C7" i="1"/>
  <c r="B5" i="1"/>
  <c r="E5" i="1"/>
  <c r="N4" i="1"/>
  <c r="N3" i="1"/>
  <c r="N2" i="1"/>
</calcChain>
</file>

<file path=xl/sharedStrings.xml><?xml version="1.0" encoding="utf-8"?>
<sst xmlns="http://schemas.openxmlformats.org/spreadsheetml/2006/main" count="59" uniqueCount="54">
  <si>
    <t>Wall area (m2)</t>
  </si>
  <si>
    <t>Inner walls area (m2)</t>
  </si>
  <si>
    <t>Roof area (m2)</t>
  </si>
  <si>
    <t>Floor area 2nd floor (m2)</t>
  </si>
  <si>
    <t>Delivery location</t>
  </si>
  <si>
    <t>Freight</t>
  </si>
  <si>
    <t>Number of windows std size</t>
  </si>
  <si>
    <t>Number of windows &gt;18 height</t>
  </si>
  <si>
    <t>Number of sliding doors</t>
  </si>
  <si>
    <t>Number of window doors</t>
  </si>
  <si>
    <t>Number of doors</t>
  </si>
  <si>
    <t>Snow zone</t>
  </si>
  <si>
    <t xml:space="preserve">Price (SEK incl VAT) </t>
  </si>
  <si>
    <t>Villa Name</t>
  </si>
  <si>
    <t>Esklistuna</t>
  </si>
  <si>
    <t>Vladimir(Villa 1)</t>
  </si>
  <si>
    <t>Bankeryd</t>
  </si>
  <si>
    <t>All In(Villa 2)</t>
  </si>
  <si>
    <t>Stockholm</t>
  </si>
  <si>
    <t>Blidö(Villa 3)</t>
  </si>
  <si>
    <t>Göteborg</t>
  </si>
  <si>
    <t>Hosseinpour(Villa 4)</t>
  </si>
  <si>
    <t>Vetlanda</t>
  </si>
  <si>
    <t>2,0-2,5</t>
  </si>
  <si>
    <t>Håkansson(Villa 5)</t>
  </si>
  <si>
    <t>Habo</t>
  </si>
  <si>
    <t>Härhult(Villa 6)</t>
  </si>
  <si>
    <t>Nyarp(Villa 7)</t>
  </si>
  <si>
    <t>Gotland</t>
  </si>
  <si>
    <t>198 Rodestedt(Villa 8)</t>
  </si>
  <si>
    <t>Helsingborg</t>
  </si>
  <si>
    <t>213 Palm(Villa 9)</t>
  </si>
  <si>
    <t>Öland</t>
  </si>
  <si>
    <t>229 Elgehed(Villa 10)</t>
  </si>
  <si>
    <t>42 Sargon-Ishak(Villa 11)</t>
  </si>
  <si>
    <t>Vaggeryd</t>
  </si>
  <si>
    <t>48 Trekanten(Villa 12)</t>
  </si>
  <si>
    <t>Jönköping</t>
  </si>
  <si>
    <t>56 Lind(Villa 13)</t>
  </si>
  <si>
    <t>Havstenshult</t>
  </si>
  <si>
    <t>57 Kozic(Villa 14)</t>
  </si>
  <si>
    <t>62 Sandberg(Villa 15)</t>
  </si>
  <si>
    <t>Värnamo</t>
  </si>
  <si>
    <t>64 Ingelsten(Villa 16)</t>
  </si>
  <si>
    <t>Källstad</t>
  </si>
  <si>
    <t>67 Källstad(Villa 17)</t>
  </si>
  <si>
    <t>Linköping</t>
  </si>
  <si>
    <t>91 Sandström(Villa 18)</t>
  </si>
  <si>
    <t>Dalby</t>
  </si>
  <si>
    <t>95 Warell(Villa 19)</t>
  </si>
  <si>
    <t>Vadstena</t>
  </si>
  <si>
    <t>106 Törnström(Villa 20)</t>
  </si>
  <si>
    <t>111 Kärsby(Villa 21)</t>
  </si>
  <si>
    <t>116 Göteborg(Villa 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</si>
</sst>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topLeftCell="C1" workbookViewId="0">
      <selection activeCell="I21" sqref="I21"/>
    </sheetView>
  </sheetViews>
  <sheetFormatPr defaultRowHeight="14.4" x14ac:dyDescent="0.3"/>
  <cols>
    <col min="1" max="1" width="20.44140625" customWidth="1"/>
    <col min="2" max="2" width="14.109375" customWidth="1"/>
    <col min="3" max="3" width="17.88671875" customWidth="1"/>
    <col min="4" max="4" width="12.109375" customWidth="1"/>
    <col min="5" max="5" width="20.88671875" customWidth="1"/>
    <col min="6" max="6" width="15.77734375" customWidth="1"/>
    <col min="8" max="8" width="17.109375" customWidth="1"/>
    <col min="9" max="9" width="18.44140625" customWidth="1"/>
    <col min="10" max="10" width="16.44140625" customWidth="1"/>
    <col min="11" max="11" width="18.33203125" customWidth="1"/>
    <col min="12" max="12" width="12.44140625" customWidth="1"/>
    <col min="13" max="13" width="11.44140625" customWidth="1"/>
    <col min="14" max="14" width="27.77734375" customWidth="1"/>
  </cols>
  <sheetData>
    <row r="1" spans="1:14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s="1" t="s">
        <v>15</v>
      </c>
      <c r="B2" s="1">
        <v>80</v>
      </c>
      <c r="C2" s="1">
        <v>0</v>
      </c>
      <c r="D2" s="1">
        <v>185</v>
      </c>
      <c r="E2" s="1">
        <v>0</v>
      </c>
      <c r="F2" s="1" t="s">
        <v>14</v>
      </c>
      <c r="G2" s="1">
        <v>35000</v>
      </c>
      <c r="H2" s="1">
        <v>8</v>
      </c>
      <c r="I2" s="1">
        <v>1</v>
      </c>
      <c r="J2" s="1">
        <v>1</v>
      </c>
      <c r="K2" s="1">
        <v>1</v>
      </c>
      <c r="L2" s="1">
        <v>2</v>
      </c>
      <c r="M2" s="1">
        <v>2</v>
      </c>
      <c r="N2" s="2">
        <f>605300*1.25</f>
        <v>756625</v>
      </c>
    </row>
    <row r="3" spans="1:14" x14ac:dyDescent="0.3">
      <c r="A3" s="1" t="s">
        <v>17</v>
      </c>
      <c r="B3" s="1">
        <v>270</v>
      </c>
      <c r="C3" s="1">
        <v>50</v>
      </c>
      <c r="D3" s="1">
        <v>110</v>
      </c>
      <c r="E3" s="1">
        <v>72</v>
      </c>
      <c r="F3" s="1" t="s">
        <v>16</v>
      </c>
      <c r="G3" s="1">
        <v>25000</v>
      </c>
      <c r="H3" s="1">
        <v>7</v>
      </c>
      <c r="I3" s="1">
        <v>22</v>
      </c>
      <c r="J3" s="1">
        <v>1</v>
      </c>
      <c r="K3" s="1">
        <v>8</v>
      </c>
      <c r="L3" s="1">
        <v>0</v>
      </c>
      <c r="M3" s="1">
        <v>2.5</v>
      </c>
      <c r="N3" s="2">
        <f>(1380300+390000)*1.25</f>
        <v>2212875</v>
      </c>
    </row>
    <row r="4" spans="1:14" x14ac:dyDescent="0.3">
      <c r="A4" s="1" t="s">
        <v>19</v>
      </c>
      <c r="B4" s="1">
        <v>272</v>
      </c>
      <c r="C4" s="1">
        <v>55</v>
      </c>
      <c r="D4" s="1">
        <v>158</v>
      </c>
      <c r="E4" s="1">
        <v>77</v>
      </c>
      <c r="F4" s="1" t="s">
        <v>18</v>
      </c>
      <c r="G4" s="1">
        <v>55000</v>
      </c>
      <c r="H4" s="1">
        <v>8</v>
      </c>
      <c r="I4" s="1">
        <v>14</v>
      </c>
      <c r="J4" s="1">
        <v>0</v>
      </c>
      <c r="K4" s="1">
        <v>2</v>
      </c>
      <c r="L4" s="1">
        <v>0</v>
      </c>
      <c r="M4" s="1">
        <v>2</v>
      </c>
      <c r="N4" s="2">
        <f>1160300*1.25</f>
        <v>1450375</v>
      </c>
    </row>
    <row r="5" spans="1:14" x14ac:dyDescent="0.3">
      <c r="A5" s="1" t="s">
        <v>21</v>
      </c>
      <c r="B5" s="1">
        <f>184+23</f>
        <v>207</v>
      </c>
      <c r="C5" s="1">
        <v>25</v>
      </c>
      <c r="D5" s="1">
        <v>185</v>
      </c>
      <c r="E5" s="1">
        <f>110+18</f>
        <v>128</v>
      </c>
      <c r="F5" s="1" t="s">
        <v>20</v>
      </c>
      <c r="G5" s="1">
        <v>35000</v>
      </c>
      <c r="H5" s="1">
        <v>16</v>
      </c>
      <c r="I5" s="1">
        <v>14</v>
      </c>
      <c r="J5" s="1">
        <v>1</v>
      </c>
      <c r="K5" s="1">
        <v>4</v>
      </c>
      <c r="L5" s="1">
        <v>2</v>
      </c>
      <c r="M5" s="1">
        <v>1.5</v>
      </c>
      <c r="N5" s="2">
        <v>1201500</v>
      </c>
    </row>
    <row r="6" spans="1:14" x14ac:dyDescent="0.3">
      <c r="A6" s="1" t="s">
        <v>24</v>
      </c>
      <c r="B6" s="1">
        <v>100</v>
      </c>
      <c r="C6" s="1">
        <v>25</v>
      </c>
      <c r="D6" s="1">
        <v>140</v>
      </c>
      <c r="E6" s="1">
        <v>0</v>
      </c>
      <c r="F6" s="1" t="s">
        <v>22</v>
      </c>
      <c r="G6" s="1">
        <v>20000</v>
      </c>
      <c r="H6" s="1">
        <v>2</v>
      </c>
      <c r="I6" s="1">
        <v>10</v>
      </c>
      <c r="J6" s="1">
        <v>0</v>
      </c>
      <c r="K6" s="1">
        <v>2</v>
      </c>
      <c r="L6" s="1">
        <v>0</v>
      </c>
      <c r="M6" s="1" t="s">
        <v>23</v>
      </c>
      <c r="N6" s="2">
        <v>595300</v>
      </c>
    </row>
    <row r="7" spans="1:14" x14ac:dyDescent="0.3">
      <c r="A7" s="1" t="s">
        <v>26</v>
      </c>
      <c r="B7" s="1">
        <v>170</v>
      </c>
      <c r="C7" s="1">
        <f>136+25</f>
        <v>161</v>
      </c>
      <c r="D7" s="1">
        <v>277</v>
      </c>
      <c r="E7" s="1">
        <v>0</v>
      </c>
      <c r="F7" s="1" t="s">
        <v>25</v>
      </c>
      <c r="G7" s="1">
        <v>40000</v>
      </c>
      <c r="H7" s="1">
        <v>11</v>
      </c>
      <c r="I7" s="1">
        <v>3</v>
      </c>
      <c r="J7" s="1">
        <v>0</v>
      </c>
      <c r="K7" s="1">
        <v>0</v>
      </c>
      <c r="L7" s="1">
        <v>0</v>
      </c>
      <c r="M7" s="1">
        <v>2.5</v>
      </c>
      <c r="N7" s="2">
        <f>1.25*790000</f>
        <v>987500</v>
      </c>
    </row>
    <row r="8" spans="1:14" x14ac:dyDescent="0.3">
      <c r="A8" s="1" t="s">
        <v>27</v>
      </c>
      <c r="B8" s="1">
        <v>152</v>
      </c>
      <c r="C8" s="1">
        <v>0</v>
      </c>
      <c r="D8" s="1">
        <v>216</v>
      </c>
      <c r="E8" s="1">
        <v>0</v>
      </c>
      <c r="F8" s="1" t="s">
        <v>16</v>
      </c>
      <c r="G8" s="1">
        <v>40000</v>
      </c>
      <c r="H8" s="1">
        <v>10</v>
      </c>
      <c r="I8" s="1">
        <v>3</v>
      </c>
      <c r="J8" s="1">
        <v>0</v>
      </c>
      <c r="K8" s="1">
        <v>4</v>
      </c>
      <c r="L8" s="1">
        <v>0</v>
      </c>
      <c r="M8" s="1">
        <v>2.5</v>
      </c>
      <c r="N8" s="2">
        <f>(775300-87000-69000)*1.25</f>
        <v>774125</v>
      </c>
    </row>
    <row r="9" spans="1:14" x14ac:dyDescent="0.3">
      <c r="A9" s="1" t="s">
        <v>29</v>
      </c>
      <c r="B9" s="1">
        <v>95</v>
      </c>
      <c r="C9" s="1">
        <v>66</v>
      </c>
      <c r="D9" s="1">
        <v>115</v>
      </c>
      <c r="E9" s="1">
        <v>16</v>
      </c>
      <c r="F9" s="1" t="s">
        <v>28</v>
      </c>
      <c r="H9" s="1">
        <v>16</v>
      </c>
      <c r="I9" s="1">
        <v>1</v>
      </c>
      <c r="J9" s="1">
        <v>2</v>
      </c>
      <c r="K9" s="1">
        <v>1</v>
      </c>
      <c r="L9" s="1">
        <v>0</v>
      </c>
      <c r="M9" s="1">
        <v>2.5</v>
      </c>
      <c r="N9" s="2">
        <v>705300</v>
      </c>
    </row>
    <row r="10" spans="1:14" x14ac:dyDescent="0.3">
      <c r="A10" s="1" t="s">
        <v>31</v>
      </c>
      <c r="B10" s="1">
        <v>125</v>
      </c>
      <c r="C10" s="1">
        <v>56</v>
      </c>
      <c r="D10" s="1">
        <v>85</v>
      </c>
      <c r="F10" s="1" t="s">
        <v>30</v>
      </c>
      <c r="G10" s="1">
        <v>35000</v>
      </c>
      <c r="H10" s="1">
        <v>9</v>
      </c>
      <c r="I10" s="1">
        <v>10</v>
      </c>
      <c r="J10" s="1">
        <v>2</v>
      </c>
      <c r="K10" s="1">
        <v>3</v>
      </c>
      <c r="L10" s="1">
        <v>0</v>
      </c>
      <c r="M10" s="1">
        <v>1</v>
      </c>
      <c r="N10" s="2">
        <f>775300+G10</f>
        <v>810300</v>
      </c>
    </row>
    <row r="11" spans="1:14" x14ac:dyDescent="0.3">
      <c r="A11" s="1" t="s">
        <v>33</v>
      </c>
      <c r="B11" s="1">
        <v>102</v>
      </c>
      <c r="C11" s="1">
        <v>49</v>
      </c>
      <c r="D11" s="1">
        <v>125</v>
      </c>
      <c r="E11" s="1">
        <v>0</v>
      </c>
      <c r="F11" s="1" t="s">
        <v>32</v>
      </c>
      <c r="G11" s="1">
        <v>25000</v>
      </c>
      <c r="H11" s="1">
        <v>8</v>
      </c>
      <c r="I11" s="1">
        <v>2</v>
      </c>
      <c r="J11" s="1">
        <v>0</v>
      </c>
      <c r="K11" s="1">
        <v>2</v>
      </c>
      <c r="L11" s="1">
        <v>0</v>
      </c>
      <c r="M11" s="1">
        <v>2.5</v>
      </c>
      <c r="N11" s="2">
        <v>538300</v>
      </c>
    </row>
    <row r="12" spans="1:14" x14ac:dyDescent="0.3">
      <c r="A12" s="1" t="s">
        <v>34</v>
      </c>
      <c r="B12" s="1">
        <v>248</v>
      </c>
      <c r="C12" s="1">
        <v>83</v>
      </c>
      <c r="D12" s="1">
        <v>185</v>
      </c>
      <c r="E12" s="1">
        <v>115</v>
      </c>
      <c r="F12" s="1" t="s">
        <v>25</v>
      </c>
      <c r="G12" s="1">
        <v>25000</v>
      </c>
      <c r="H12" s="1">
        <v>23</v>
      </c>
      <c r="I12" s="1">
        <v>14</v>
      </c>
      <c r="J12" s="1">
        <v>0</v>
      </c>
      <c r="K12" s="1">
        <v>4</v>
      </c>
      <c r="L12" s="1">
        <v>0</v>
      </c>
      <c r="M12" s="1">
        <v>2.5</v>
      </c>
      <c r="N12" s="2">
        <v>1241800</v>
      </c>
    </row>
    <row r="13" spans="1:14" x14ac:dyDescent="0.3">
      <c r="A13" s="1" t="s">
        <v>36</v>
      </c>
      <c r="B13" s="1">
        <v>180</v>
      </c>
      <c r="C13" s="1">
        <v>78</v>
      </c>
      <c r="D13" s="1">
        <v>80</v>
      </c>
      <c r="E13" s="1">
        <v>55</v>
      </c>
      <c r="F13" s="1" t="s">
        <v>35</v>
      </c>
      <c r="G13" s="1">
        <v>25000</v>
      </c>
      <c r="H13" s="1">
        <v>8</v>
      </c>
      <c r="I13" s="1">
        <v>4</v>
      </c>
      <c r="J13" s="1">
        <v>0</v>
      </c>
      <c r="K13" s="1">
        <v>3</v>
      </c>
      <c r="L13" s="1">
        <v>0</v>
      </c>
      <c r="M13" s="1">
        <v>2.5</v>
      </c>
      <c r="N13" s="3">
        <f>569300*1.25</f>
        <v>711625</v>
      </c>
    </row>
    <row r="14" spans="1:14" x14ac:dyDescent="0.3">
      <c r="A14" s="1" t="s">
        <v>38</v>
      </c>
      <c r="B14" s="1">
        <v>125</v>
      </c>
      <c r="C14" s="1">
        <v>103</v>
      </c>
      <c r="D14" s="1">
        <v>172</v>
      </c>
      <c r="E14" s="1">
        <v>0</v>
      </c>
      <c r="F14" s="1" t="s">
        <v>37</v>
      </c>
      <c r="G14" s="1">
        <v>15000</v>
      </c>
      <c r="H14" s="1">
        <v>9</v>
      </c>
      <c r="I14" s="1">
        <v>4</v>
      </c>
      <c r="J14" s="1">
        <v>0</v>
      </c>
      <c r="K14" s="1">
        <v>2</v>
      </c>
      <c r="L14" s="1">
        <v>0</v>
      </c>
      <c r="M14" s="1">
        <v>2.5</v>
      </c>
      <c r="N14" s="2">
        <f>405300*1.25</f>
        <v>506625</v>
      </c>
    </row>
    <row r="15" spans="1:14" x14ac:dyDescent="0.3">
      <c r="A15" s="1" t="s">
        <v>40</v>
      </c>
      <c r="B15" s="1">
        <v>98</v>
      </c>
      <c r="C15" s="1">
        <v>90</v>
      </c>
      <c r="D15" s="1">
        <v>241</v>
      </c>
      <c r="E15" s="1">
        <v>0</v>
      </c>
      <c r="F15" s="1" t="s">
        <v>39</v>
      </c>
      <c r="G15" s="1">
        <v>15000</v>
      </c>
      <c r="H15" s="1">
        <v>9</v>
      </c>
      <c r="I15" s="1">
        <v>6</v>
      </c>
      <c r="J15" s="1">
        <v>0</v>
      </c>
      <c r="K15" s="1">
        <v>1</v>
      </c>
      <c r="L15" s="1">
        <v>0</v>
      </c>
      <c r="M15" s="1">
        <v>2</v>
      </c>
      <c r="N15" s="2">
        <f>425300*1.25</f>
        <v>531625</v>
      </c>
    </row>
    <row r="16" spans="1:14" x14ac:dyDescent="0.3">
      <c r="A16" s="1" t="s">
        <v>41</v>
      </c>
      <c r="B16" s="1">
        <v>171</v>
      </c>
      <c r="C16" s="1">
        <v>100</v>
      </c>
      <c r="D16" s="1">
        <v>160</v>
      </c>
      <c r="E16" s="1">
        <v>85</v>
      </c>
      <c r="F16" s="1" t="s">
        <v>37</v>
      </c>
      <c r="G16" s="1">
        <v>25000</v>
      </c>
      <c r="H16" s="1">
        <v>21</v>
      </c>
      <c r="I16" s="1">
        <v>7</v>
      </c>
      <c r="J16" s="1">
        <v>0</v>
      </c>
      <c r="K16" s="1">
        <v>1</v>
      </c>
      <c r="L16" s="1">
        <v>0</v>
      </c>
      <c r="M16" s="1">
        <v>2.5</v>
      </c>
      <c r="N16" s="2">
        <f>1056300*1.25</f>
        <v>1320375</v>
      </c>
    </row>
    <row r="17" spans="1:14" x14ac:dyDescent="0.3">
      <c r="A17" s="1" t="s">
        <v>43</v>
      </c>
      <c r="B17" s="1">
        <f>172+48+15</f>
        <v>235</v>
      </c>
      <c r="C17" s="1">
        <v>45</v>
      </c>
      <c r="D17" s="1">
        <v>200</v>
      </c>
      <c r="E17" s="1">
        <v>80</v>
      </c>
      <c r="F17" s="1" t="s">
        <v>42</v>
      </c>
      <c r="G17" s="1">
        <v>55000</v>
      </c>
      <c r="H17" s="1">
        <v>6</v>
      </c>
      <c r="I17" s="1">
        <v>3</v>
      </c>
      <c r="J17" s="1">
        <v>0</v>
      </c>
      <c r="K17" s="1">
        <v>3</v>
      </c>
      <c r="L17" s="1">
        <v>0</v>
      </c>
      <c r="M17" s="1">
        <v>2.5</v>
      </c>
      <c r="N17" s="2">
        <v>1220000</v>
      </c>
    </row>
    <row r="18" spans="1:14" x14ac:dyDescent="0.3">
      <c r="A18" s="1" t="s">
        <v>45</v>
      </c>
      <c r="B18" s="1">
        <v>67</v>
      </c>
      <c r="C18" s="1">
        <v>35</v>
      </c>
      <c r="D18" s="1">
        <v>75</v>
      </c>
      <c r="E18" s="1">
        <v>0</v>
      </c>
      <c r="F18" s="1" t="s">
        <v>44</v>
      </c>
      <c r="G18" s="1">
        <v>30000</v>
      </c>
      <c r="H18" s="1">
        <v>3</v>
      </c>
      <c r="I18" s="1">
        <v>6</v>
      </c>
      <c r="J18" s="1">
        <v>0</v>
      </c>
      <c r="K18" s="1">
        <v>2</v>
      </c>
      <c r="L18" s="1">
        <v>0</v>
      </c>
      <c r="M18" s="1">
        <v>2</v>
      </c>
      <c r="N18" s="2">
        <f>435000*1.25</f>
        <v>543750</v>
      </c>
    </row>
    <row r="19" spans="1:14" x14ac:dyDescent="0.3">
      <c r="A19" s="1" t="s">
        <v>47</v>
      </c>
      <c r="B19" s="1">
        <f>236+80</f>
        <v>316</v>
      </c>
      <c r="C19" s="1">
        <f>44+92+12</f>
        <v>148</v>
      </c>
      <c r="D19" s="1">
        <v>162</v>
      </c>
      <c r="E19" s="1">
        <v>120</v>
      </c>
      <c r="F19" s="1" t="s">
        <v>46</v>
      </c>
      <c r="G19" s="1">
        <v>27000</v>
      </c>
      <c r="H19" s="1">
        <v>13</v>
      </c>
      <c r="I19" s="1">
        <v>11</v>
      </c>
      <c r="J19" s="1">
        <v>0</v>
      </c>
      <c r="K19" s="1">
        <v>4</v>
      </c>
      <c r="L19" s="1">
        <v>0</v>
      </c>
      <c r="M19" s="1">
        <v>2</v>
      </c>
      <c r="N19" s="2">
        <f>1298300*1.25</f>
        <v>1622875</v>
      </c>
    </row>
    <row r="20" spans="1:14" x14ac:dyDescent="0.3">
      <c r="A20" s="1" t="s">
        <v>49</v>
      </c>
      <c r="B20" s="1">
        <v>221</v>
      </c>
      <c r="C20" s="1">
        <v>182</v>
      </c>
      <c r="D20" s="1">
        <v>246</v>
      </c>
      <c r="E20" s="1">
        <v>129</v>
      </c>
      <c r="F20" s="1" t="s">
        <v>48</v>
      </c>
      <c r="G20" s="1">
        <v>40000</v>
      </c>
      <c r="H20" s="1">
        <v>5</v>
      </c>
      <c r="I20" s="1">
        <v>5</v>
      </c>
      <c r="J20" s="1">
        <v>2</v>
      </c>
      <c r="K20" s="1">
        <v>6</v>
      </c>
      <c r="L20" s="1">
        <v>0</v>
      </c>
      <c r="M20" s="1">
        <v>1</v>
      </c>
      <c r="N20" s="2">
        <f>1753000*1.25</f>
        <v>2191250</v>
      </c>
    </row>
    <row r="21" spans="1:14" x14ac:dyDescent="0.3">
      <c r="A21" s="1" t="s">
        <v>51</v>
      </c>
      <c r="B21" s="1">
        <v>261</v>
      </c>
      <c r="C21" s="1">
        <v>0</v>
      </c>
      <c r="D21" s="1">
        <v>253</v>
      </c>
      <c r="E21" s="1">
        <v>0</v>
      </c>
      <c r="F21" t="s">
        <v>50</v>
      </c>
      <c r="G21" s="1">
        <v>40000</v>
      </c>
      <c r="H21" s="1">
        <v>5</v>
      </c>
      <c r="I21" s="1">
        <v>12</v>
      </c>
      <c r="J21" s="1">
        <v>0</v>
      </c>
      <c r="K21" s="1">
        <v>4</v>
      </c>
      <c r="L21" s="1">
        <v>0</v>
      </c>
      <c r="M21" s="1">
        <v>2</v>
      </c>
      <c r="N21" s="2">
        <f>1053300*1.25</f>
        <v>1316625</v>
      </c>
    </row>
    <row r="22" spans="1:14" x14ac:dyDescent="0.3">
      <c r="A22" s="1" t="s">
        <v>52</v>
      </c>
      <c r="B22" s="1">
        <v>133</v>
      </c>
      <c r="C22" s="1">
        <v>11</v>
      </c>
      <c r="D22" s="1">
        <v>141</v>
      </c>
      <c r="E22" s="1">
        <v>0</v>
      </c>
      <c r="F22" t="s">
        <v>50</v>
      </c>
      <c r="G22" s="1">
        <v>45000</v>
      </c>
      <c r="H22" s="1">
        <v>16</v>
      </c>
      <c r="I22" s="1">
        <v>2</v>
      </c>
      <c r="J22" s="1">
        <v>0</v>
      </c>
      <c r="K22" s="1">
        <v>1</v>
      </c>
      <c r="L22" s="1">
        <v>0</v>
      </c>
      <c r="M22" s="1">
        <v>2</v>
      </c>
      <c r="N22" s="2">
        <f>637300*1.25</f>
        <v>796625</v>
      </c>
    </row>
    <row r="23" spans="1:14" x14ac:dyDescent="0.3">
      <c r="A23" s="1" t="s">
        <v>53</v>
      </c>
      <c r="B23" s="1">
        <v>137</v>
      </c>
      <c r="C23" s="1">
        <v>0</v>
      </c>
      <c r="D23" s="1">
        <v>208</v>
      </c>
      <c r="E23" s="1">
        <v>0</v>
      </c>
      <c r="F23" t="s">
        <v>20</v>
      </c>
      <c r="G23" s="1">
        <v>45000</v>
      </c>
      <c r="H23" s="1">
        <v>10</v>
      </c>
      <c r="I23" s="1">
        <v>4</v>
      </c>
      <c r="J23" s="1">
        <v>0</v>
      </c>
      <c r="K23" s="1">
        <v>1</v>
      </c>
      <c r="L23" s="1">
        <v>0</v>
      </c>
      <c r="M23" s="1">
        <v>1.5</v>
      </c>
      <c r="N23" s="2">
        <f>530000*1.25</f>
        <v>662500</v>
      </c>
    </row>
    <row r="24" spans="1:14" x14ac:dyDescent="0.3">
      <c r="A24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nijopc</dc:creator>
  <cp:lastModifiedBy>nijopc</cp:lastModifiedBy>
  <dcterms:created xsi:type="dcterms:W3CDTF">2025-03-12T10:34:33Z</dcterms:created>
  <dcterms:modified xsi:type="dcterms:W3CDTF">2025-03-20T13:15:16Z</dcterms:modified>
</cp:coreProperties>
</file>